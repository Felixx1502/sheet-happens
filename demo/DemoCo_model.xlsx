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Build" sheetId="2" state="visible" r:id="rId2"/>
    <sheet xmlns:r="http://schemas.openxmlformats.org/officeDocument/2006/relationships" name="Cost Build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DEMOCO — ASSUMPTIONS</t>
        </is>
      </c>
    </row>
    <row r="2"/>
    <row r="3">
      <c r="A3" t="inlineStr">
        <is>
          <t>REVENUE DRIVERS</t>
        </is>
      </c>
    </row>
    <row r="4">
      <c r="A4" t="inlineStr">
        <is>
          <t>Units sold Y1</t>
        </is>
      </c>
      <c r="B4" t="n">
        <v>1000</v>
      </c>
    </row>
    <row r="5">
      <c r="A5" t="inlineStr">
        <is>
          <t>Unit growth %</t>
        </is>
      </c>
      <c r="B5" t="n">
        <v>0.12</v>
      </c>
    </row>
    <row r="6">
      <c r="A6" t="inlineStr">
        <is>
          <t>Price / unit</t>
        </is>
      </c>
      <c r="B6" t="n">
        <v>25</v>
      </c>
    </row>
    <row r="7">
      <c r="A7" t="inlineStr">
        <is>
          <t>Price growth %</t>
        </is>
      </c>
      <c r="B7" t="n">
        <v>0.03</v>
      </c>
    </row>
    <row r="8"/>
    <row r="9">
      <c r="A9" t="inlineStr">
        <is>
          <t>COST DRIVERS</t>
        </is>
      </c>
    </row>
    <row r="10">
      <c r="A10" t="inlineStr">
        <is>
          <t>COGS % of revenue</t>
        </is>
      </c>
      <c r="B10" t="n">
        <v>0.42</v>
      </c>
    </row>
    <row r="11">
      <c r="A11" t="inlineStr">
        <is>
          <t>Opex fixed</t>
        </is>
      </c>
      <c r="B11" t="n">
        <v>4000</v>
      </c>
    </row>
    <row r="12">
      <c r="A12" t="inlineStr">
        <is>
          <t>Opex % of revenue</t>
        </is>
      </c>
      <c r="B12" t="n">
        <v>0.08</v>
      </c>
    </row>
    <row r="13"/>
    <row r="14">
      <c r="A14" t="inlineStr">
        <is>
          <t>CAPEX &amp; DEPRECIATION</t>
        </is>
      </c>
    </row>
    <row r="15">
      <c r="A15" t="inlineStr">
        <is>
          <t>Capex % of revenue</t>
        </is>
      </c>
      <c r="B15" t="n">
        <v>0.05</v>
      </c>
    </row>
    <row r="16">
      <c r="A16" t="inlineStr">
        <is>
          <t>Depreciation years</t>
        </is>
      </c>
      <c r="B16" t="n">
        <v>5</v>
      </c>
    </row>
    <row r="17"/>
    <row r="18">
      <c r="A18" t="inlineStr">
        <is>
          <t>WORKING CAPITAL &amp; TAX</t>
        </is>
      </c>
    </row>
    <row r="19">
      <c r="A19" t="inlineStr">
        <is>
          <t>DSO days</t>
        </is>
      </c>
      <c r="B19" t="n">
        <v>45</v>
      </c>
    </row>
    <row r="20">
      <c r="A20" t="inlineStr">
        <is>
          <t>DPO days</t>
        </is>
      </c>
      <c r="B20" t="n">
        <v>30</v>
      </c>
    </row>
    <row r="21">
      <c r="A21" t="inlineStr">
        <is>
          <t>Tax rate</t>
        </is>
      </c>
      <c r="B21" t="n">
        <v>0.2</v>
      </c>
    </row>
    <row r="22"/>
    <row r="23">
      <c r="A23" t="inlineStr">
        <is>
          <t>DEBT</t>
        </is>
      </c>
    </row>
    <row r="24">
      <c r="A24" t="inlineStr">
        <is>
          <t>Opening debt</t>
        </is>
      </c>
      <c r="B24" t="n">
        <v>8000</v>
      </c>
    </row>
    <row r="25">
      <c r="A25" t="inlineStr">
        <is>
          <t>Interest rate</t>
        </is>
      </c>
      <c r="B25" t="n">
        <v>0.07000000000000001</v>
      </c>
    </row>
    <row r="26">
      <c r="A26" t="inlineStr">
        <is>
          <t>Annual repayment</t>
        </is>
      </c>
      <c r="B26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DEMOCO — REVENUE BUILD</t>
        </is>
      </c>
    </row>
    <row r="2">
      <c r="A2" t="inlineStr">
        <is>
          <t>Year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Units</t>
        </is>
      </c>
      <c r="B3">
        <f>Assumptions!B4</f>
        <v/>
      </c>
      <c r="C3">
        <f>B3*(1+Assumptions!$B$5)</f>
        <v/>
      </c>
      <c r="D3">
        <f>C3*(1+Assumptions!$B$5)</f>
        <v/>
      </c>
      <c r="E3">
        <f>D3*(1+Assumptions!$B$5)</f>
        <v/>
      </c>
      <c r="F3">
        <f>E3*(1+Assumptions!$B$5)</f>
        <v/>
      </c>
    </row>
    <row r="4">
      <c r="A4" t="inlineStr">
        <is>
          <t>Price</t>
        </is>
      </c>
      <c r="B4">
        <f>Assumptions!B6</f>
        <v/>
      </c>
      <c r="C4">
        <f>B4*(1+Assumptions!$B$7)</f>
        <v/>
      </c>
      <c r="D4">
        <f>C4*(1+Assumptions!$B$7)</f>
        <v/>
      </c>
      <c r="E4">
        <f>D4*(1+Assumptions!$B$7)</f>
        <v/>
      </c>
      <c r="F4">
        <f>E4*(1+Assumptions!$B$7)</f>
        <v/>
      </c>
    </row>
    <row r="5">
      <c r="A5" t="inlineStr">
        <is>
          <t>Revenue</t>
        </is>
      </c>
      <c r="B5">
        <f>B3*B4</f>
        <v/>
      </c>
      <c r="C5">
        <f>C3*C4</f>
        <v/>
      </c>
      <c r="D5">
        <f>D3*D4</f>
        <v/>
      </c>
      <c r="E5">
        <f>E3*E4</f>
        <v/>
      </c>
      <c r="F5">
        <f>F3*F4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DEMOCO — COST BUILD</t>
        </is>
      </c>
    </row>
    <row r="2">
      <c r="A2" t="inlineStr">
        <is>
          <t>Year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COGS</t>
        </is>
      </c>
      <c r="B3">
        <f>'Revenue Build'!B5*Assumptions!$B$10</f>
        <v/>
      </c>
      <c r="C3">
        <f>'Revenue Build'!C5*Assumptions!$B$10</f>
        <v/>
      </c>
      <c r="D3">
        <f>'Revenue Build'!D5*Assumptions!$B$10</f>
        <v/>
      </c>
      <c r="E3">
        <f>'Revenue Build'!E5*Assumptions!$B$10</f>
        <v/>
      </c>
      <c r="F3">
        <f>'Revenue Build'!F5*Assumptions!$B$10</f>
        <v/>
      </c>
    </row>
    <row r="4">
      <c r="A4" t="inlineStr">
        <is>
          <t>Opex</t>
        </is>
      </c>
      <c r="B4">
        <f>Assumptions!$B$11+'Revenue Build'!B5*Assumptions!$B$12</f>
        <v/>
      </c>
      <c r="C4">
        <f>Assumptions!$B$11+'Revenue Build'!C5*Assumptions!$B$12</f>
        <v/>
      </c>
      <c r="D4">
        <f>Assumptions!$B$11+'Revenue Build'!D5*Assumptions!$B$12</f>
        <v/>
      </c>
      <c r="E4">
        <f>Assumptions!$B$11+'Revenue Build'!E5*Assumptions!$B$12</f>
        <v/>
      </c>
      <c r="F4">
        <f>Assumptions!$B$11+'Revenue Build'!F5*Assumptions!$B$12</f>
        <v/>
      </c>
    </row>
    <row r="5">
      <c r="A5" t="inlineStr">
        <is>
          <t>Capex</t>
        </is>
      </c>
      <c r="B5">
        <f>'Revenue Build'!B5*Assumptions!$B$15</f>
        <v/>
      </c>
      <c r="C5">
        <f>'Revenue Build'!C5*Assumptions!$B$15</f>
        <v/>
      </c>
      <c r="D5">
        <f>'Revenue Build'!D5*Assumptions!$B$15</f>
        <v/>
      </c>
      <c r="E5">
        <f>'Revenue Build'!E5*Assumptions!$B$15</f>
        <v/>
      </c>
      <c r="F5">
        <f>'Revenue Build'!F5*Assumptions!$B$15</f>
        <v/>
      </c>
    </row>
    <row r="6">
      <c r="A6" t="inlineStr">
        <is>
          <t>Depreciation</t>
        </is>
      </c>
      <c r="B6">
        <f>SUM($B$5:B5)/Assumptions!$B$16</f>
        <v/>
      </c>
      <c r="C6">
        <f>SUM($B$5:C5)/Assumptions!$B$16</f>
        <v/>
      </c>
      <c r="D6">
        <f>SUM($B$5:D5)/Assumptions!$B$16</f>
        <v/>
      </c>
      <c r="E6">
        <f>SUM($B$5:E5)/Assumptions!$B$16</f>
        <v/>
      </c>
      <c r="F6">
        <f>SUM($B$5:F5)/Assumptions!$B$16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DEMOCO — DEBT SCHEDULE</t>
        </is>
      </c>
    </row>
    <row r="2">
      <c r="A2" t="inlineStr">
        <is>
          <t>Year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Opening debt</t>
        </is>
      </c>
      <c r="B3">
        <f>Assumptions!B22</f>
        <v/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t="inlineStr">
        <is>
          <t>Repayment</t>
        </is>
      </c>
      <c r="B4">
        <f>MIN(Assumptions!$B$24,B3)</f>
        <v/>
      </c>
      <c r="C4">
        <f>MIN(Assumptions!$B$24,C3)</f>
        <v/>
      </c>
      <c r="D4">
        <f>MIN(Assumptions!$B$24,D3)</f>
        <v/>
      </c>
      <c r="E4">
        <f>MIN(Assumptions!$B$24,E3)</f>
        <v/>
      </c>
      <c r="F4">
        <f>MIN(Assumptions!$B$24,F3)</f>
        <v/>
      </c>
    </row>
    <row r="5">
      <c r="A5" t="inlineStr">
        <is>
          <t>Closing debt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t="inlineStr">
        <is>
          <t>Interest</t>
        </is>
      </c>
      <c r="B6">
        <f>B3*Assumptions!$B$23</f>
        <v/>
      </c>
      <c r="C6">
        <f>C3*Assumptions!$B$23</f>
        <v/>
      </c>
      <c r="D6">
        <f>D3*Assumptions!$B$23</f>
        <v/>
      </c>
      <c r="E6">
        <f>E3*Assumptions!$B$23</f>
        <v/>
      </c>
      <c r="F6">
        <f>F3*Assumptions!$B$23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DEMOCO — P&amp;L</t>
        </is>
      </c>
    </row>
    <row r="2">
      <c r="A2" t="inlineStr">
        <is>
          <t>Year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Revenue</t>
        </is>
      </c>
      <c r="B3">
        <f>'Revenue Build'!B5</f>
        <v/>
      </c>
      <c r="C3">
        <f>'Revenue Build'!C5</f>
        <v/>
      </c>
      <c r="D3">
        <f>'Revenue Build'!D5</f>
        <v/>
      </c>
      <c r="E3">
        <f>'Revenue Build'!E5</f>
        <v/>
      </c>
      <c r="F3">
        <f>'Revenue Build'!F5</f>
        <v/>
      </c>
    </row>
    <row r="4">
      <c r="A4" t="inlineStr">
        <is>
          <t>COGS</t>
        </is>
      </c>
      <c r="B4">
        <f>'Cost Build'!B3</f>
        <v/>
      </c>
      <c r="C4">
        <f>'Cost Build'!C3</f>
        <v/>
      </c>
      <c r="D4">
        <f>'Cost Build'!D3</f>
        <v/>
      </c>
      <c r="E4">
        <f>'Cost Build'!E3</f>
        <v/>
      </c>
      <c r="F4">
        <f>'Cost Build'!F3</f>
        <v/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t="inlineStr">
        <is>
          <t>Opex</t>
        </is>
      </c>
      <c r="B6">
        <f>'Cost Build'!B4</f>
        <v/>
      </c>
      <c r="C6">
        <f>'Cost Build'!C4</f>
        <v/>
      </c>
      <c r="D6">
        <f>'Cost Build'!D4</f>
        <v/>
      </c>
      <c r="E6">
        <f>'Cost Build'!E4</f>
        <v/>
      </c>
      <c r="F6">
        <f>'Cost Build'!F4</f>
        <v/>
      </c>
    </row>
    <row r="7">
      <c r="A7" t="inlineStr">
        <is>
          <t>EBITDA</t>
        </is>
      </c>
      <c r="B7">
        <f>B5-B6</f>
        <v/>
      </c>
      <c r="C7">
        <f>C5-C6</f>
        <v/>
      </c>
      <c r="D7">
        <f>D5-D6</f>
        <v/>
      </c>
      <c r="E7">
        <f>E5-E6</f>
        <v/>
      </c>
      <c r="F7">
        <f>F5-F6</f>
        <v/>
      </c>
    </row>
    <row r="8">
      <c r="A8" t="inlineStr">
        <is>
          <t>Depreciation</t>
        </is>
      </c>
      <c r="B8">
        <f>'Cost Build'!B6</f>
        <v/>
      </c>
      <c r="C8">
        <f>'Cost Build'!C6</f>
        <v/>
      </c>
      <c r="D8">
        <f>'Cost Build'!D6</f>
        <v/>
      </c>
      <c r="E8">
        <f>'Cost Build'!E6</f>
        <v/>
      </c>
      <c r="F8">
        <f>'Cost Build'!F6</f>
        <v/>
      </c>
    </row>
    <row r="9">
      <c r="A9" t="inlineStr">
        <is>
          <t>EBIT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  <c r="F9">
        <f>F7-F8</f>
        <v/>
      </c>
    </row>
    <row r="10">
      <c r="A10" t="inlineStr">
        <is>
          <t>Interest</t>
        </is>
      </c>
      <c r="B10">
        <f>'Debt Schedule'!B6</f>
        <v/>
      </c>
      <c r="C10">
        <f>'Debt Schedule'!C6</f>
        <v/>
      </c>
      <c r="D10">
        <f>'Debt Schedule'!D6</f>
        <v/>
      </c>
      <c r="E10">
        <f>'Debt Schedule'!E6</f>
        <v/>
      </c>
      <c r="F10">
        <f>'Debt Schedule'!F6</f>
        <v/>
      </c>
    </row>
    <row r="11">
      <c r="A11" t="inlineStr">
        <is>
          <t>PBT</t>
        </is>
      </c>
      <c r="B11">
        <f>B9-B10</f>
        <v/>
      </c>
      <c r="C11">
        <f>C9-C10</f>
        <v/>
      </c>
      <c r="D11">
        <f>D9-D10</f>
        <v/>
      </c>
      <c r="E11">
        <f>E9-E10</f>
        <v/>
      </c>
      <c r="F11">
        <f>F9-F10</f>
        <v/>
      </c>
    </row>
    <row r="12">
      <c r="A12" t="inlineStr">
        <is>
          <t>Tax</t>
        </is>
      </c>
      <c r="B12">
        <f>MAX(B11,0)*Assumptions!$B$19</f>
        <v/>
      </c>
      <c r="C12">
        <f>MAX(C11,0)*Assumptions!$B$19</f>
        <v/>
      </c>
      <c r="D12">
        <f>MAX(D11,0)*Assumptions!$B$19</f>
        <v/>
      </c>
      <c r="E12">
        <f>MAX(E11,0)*Assumptions!$B$19</f>
        <v/>
      </c>
      <c r="F12">
        <f>MAX(F11,0)*Assumptions!$B$19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DEMOCO — CASH FLOW</t>
        </is>
      </c>
    </row>
    <row r="2">
      <c r="A2" t="inlineStr">
        <is>
          <t>Year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Net income</t>
        </is>
      </c>
      <c r="B3">
        <f>'P&amp;L'!B13</f>
        <v/>
      </c>
      <c r="C3">
        <f>'P&amp;L'!C13</f>
        <v/>
      </c>
      <c r="D3">
        <f>'P&amp;L'!D13</f>
        <v/>
      </c>
      <c r="E3">
        <f>'P&amp;L'!E13</f>
        <v/>
      </c>
      <c r="F3">
        <f>'P&amp;L'!F13</f>
        <v/>
      </c>
    </row>
    <row r="4">
      <c r="A4" t="inlineStr">
        <is>
          <t>Add back D&amp;A</t>
        </is>
      </c>
      <c r="B4">
        <f>'Cost Build'!B6</f>
        <v/>
      </c>
      <c r="C4">
        <f>'Cost Build'!C6</f>
        <v/>
      </c>
      <c r="D4">
        <f>'Cost Build'!D6</f>
        <v/>
      </c>
      <c r="E4">
        <f>'Cost Build'!E6</f>
        <v/>
      </c>
      <c r="F4">
        <f>'Cost Build'!F6</f>
        <v/>
      </c>
    </row>
    <row r="5">
      <c r="A5" t="inlineStr">
        <is>
          <t>Change in WC</t>
        </is>
      </c>
      <c r="B5">
        <f>-('P&amp;L'!B3*Assumptions!$B$18/365-'P&amp;L'!B4*Assumptions!$B$19/365)</f>
        <v/>
      </c>
      <c r="C5">
        <f>-('P&amp;L'!C3*Assumptions!$B$18/365-'P&amp;L'!C4*Assumptions!$B$19/365)</f>
        <v/>
      </c>
      <c r="D5">
        <f>-('P&amp;L'!D3*Assumptions!$B$18/365-'P&amp;L'!D4*Assumptions!$B$19/365)</f>
        <v/>
      </c>
      <c r="E5">
        <f>-('P&amp;L'!E3*Assumptions!$B$18/365-'P&amp;L'!E4*Assumptions!$B$19/365)</f>
        <v/>
      </c>
      <c r="F5">
        <f>-('P&amp;L'!F3*Assumptions!$B$18/365-'P&amp;L'!F4*Assumptions!$B$19/365)</f>
        <v/>
      </c>
    </row>
    <row r="6">
      <c r="A6" t="inlineStr">
        <is>
          <t>Capex</t>
        </is>
      </c>
      <c r="B6">
        <f>-'Cost Build'!B5</f>
        <v/>
      </c>
      <c r="C6">
        <f>-'Cost Build'!C5</f>
        <v/>
      </c>
      <c r="D6">
        <f>-'Cost Build'!D5</f>
        <v/>
      </c>
      <c r="E6">
        <f>-'Cost Build'!E5</f>
        <v/>
      </c>
      <c r="F6">
        <f>-'Cost Build'!F5</f>
        <v/>
      </c>
    </row>
    <row r="7">
      <c r="A7" t="inlineStr">
        <is>
          <t>Debt repayment</t>
        </is>
      </c>
      <c r="B7">
        <f>-'Debt Schedule'!B4</f>
        <v/>
      </c>
      <c r="C7">
        <f>-'Debt Schedule'!C4</f>
        <v/>
      </c>
      <c r="D7">
        <f>-'Debt Schedule'!D4</f>
        <v/>
      </c>
      <c r="E7">
        <f>-'Debt Schedule'!E4</f>
        <v/>
      </c>
      <c r="F7">
        <f>-'Debt Schedule'!F4</f>
        <v/>
      </c>
    </row>
    <row r="8">
      <c r="A8" t="inlineStr">
        <is>
          <t>Net cash flow</t>
        </is>
      </c>
      <c r="B8">
        <f>SUM(B3:B7)</f>
        <v/>
      </c>
      <c r="C8">
        <f>SUM(C3:C7)</f>
        <v/>
      </c>
      <c r="D8">
        <f>SUM(D3:D7)</f>
        <v/>
      </c>
      <c r="E8">
        <f>SUM(E3:E7)</f>
        <v/>
      </c>
      <c r="F8">
        <f>SUM(F3:F7)</f>
        <v/>
      </c>
    </row>
    <row r="9">
      <c r="A9" t="inlineStr">
        <is>
          <t>Cash balance</t>
        </is>
      </c>
      <c r="B9">
        <f>B8</f>
        <v/>
      </c>
      <c r="C9">
        <f>B9+C8</f>
        <v/>
      </c>
      <c r="D9">
        <f>C9+D8</f>
        <v/>
      </c>
      <c r="E9">
        <f>D9+E8</f>
        <v/>
      </c>
      <c r="F9">
        <f>E9+F8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DEMOCO — RETURNS</t>
        </is>
      </c>
    </row>
    <row r="2">
      <c r="A2" t="inlineStr">
        <is>
          <t>Exit multiple (hardcoded!)</t>
        </is>
      </c>
    </row>
    <row r="3">
      <c r="A3" t="inlineStr">
        <is>
          <t>Exit EBITDA</t>
        </is>
      </c>
      <c r="B3">
        <f>'P&amp;L'!F7*8.5</f>
        <v/>
      </c>
    </row>
    <row r="4">
      <c r="A4" t="inlineStr">
        <is>
          <t>Enterprise value</t>
        </is>
      </c>
      <c r="B4">
        <f>B3</f>
        <v/>
      </c>
    </row>
    <row r="5">
      <c r="A5" t="inlineStr">
        <is>
          <t>Net debt at exit</t>
        </is>
      </c>
      <c r="B5">
        <f>'Debt Schedule'!F5-'Cash Flow'!F9</f>
        <v/>
      </c>
    </row>
    <row r="6">
      <c r="A6" t="inlineStr">
        <is>
          <t>Equity value</t>
        </is>
      </c>
      <c r="B6">
        <f>B4-B5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2026-07-16T02:54:11Z</dcterms:created>
  <dcterms:modified xmlns:dcterms="http://purl.org/dc/terms/" xmlns:xsi="http://www.w3.org/2001/XMLSchema-instance" xsi:type="dcterms:W3CDTF">2026-07-16T02:54:11Z</dcterms:modified>
</cp:coreProperties>
</file>